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<sst xmlns="http://schemas.openxmlformats.org/spreadsheetml/2006/main" count="256" uniqueCount="63">
  <si>
    <t>Timestamp</t>
  </si>
  <si>
    <t>Basic Linear Algebra</t>
  </si>
  <si>
    <t>Intermediate Linear Algebra</t>
  </si>
  <si>
    <t>Advanced Linear Algebra</t>
  </si>
  <si>
    <t>Basic Group Theory</t>
  </si>
  <si>
    <t>Intermediate Group Theory</t>
  </si>
  <si>
    <t>Group Actions</t>
  </si>
  <si>
    <t>Advanced Group Theory</t>
  </si>
  <si>
    <t>Basic Field Theory</t>
  </si>
  <si>
    <t>Galois Theory</t>
  </si>
  <si>
    <t>Advanced Field and Galois Theory</t>
  </si>
  <si>
    <t>Other Galois Theory Bits</t>
  </si>
  <si>
    <t>Basic Ring Theory</t>
  </si>
  <si>
    <t>Advanced Ring Theory</t>
  </si>
  <si>
    <t>Essential Module Theory over Commutative Rings</t>
  </si>
  <si>
    <t>Advanced Module Theory</t>
  </si>
  <si>
    <t>Even More Advanced Module Theory</t>
  </si>
  <si>
    <t>Other Ring Theory Bits</t>
  </si>
  <si>
    <t>Which of the following are you most hoping to get from the Algebra SEP?  (You may select more than one; you're allowed to be multifaceted.)</t>
  </si>
  <si>
    <t>Email address (if the one at which you received this is not the email you want to be contacted at)</t>
  </si>
  <si>
    <t>What name should I call you?</t>
  </si>
  <si>
    <t>What pronouns should I call you?</t>
  </si>
  <si>
    <t>Select any of the following that describe you</t>
  </si>
  <si>
    <t>Do you have anything else you think I should know?  About you, about math, about the 1904 Olympic Marathon, anything?</t>
  </si>
  <si>
    <t>Uncomfortable; I have seen some of this, but I'm not sure I could do much with it.</t>
  </si>
  <si>
    <t>Medium comfortable; I could probably do computations with most of these things.</t>
  </si>
  <si>
    <t>Comfortable; if it came up in a proof I wouldn't have to think too long about it.</t>
  </si>
  <si>
    <t>No comfort; I have never seen many of these things.</t>
  </si>
  <si>
    <t>I'm going to pass the qual!</t>
  </si>
  <si>
    <t>gbrown29@wisc.edu</t>
  </si>
  <si>
    <t xml:space="preserve">Gabriela </t>
  </si>
  <si>
    <t>they/them</t>
  </si>
  <si>
    <t>I am a second-year or higher graduate student, I have taken graduate-level algebra classes (either here or at another institution), I do not have an undergraduate degree in math, I did my undergraduate at a college (typically a smaller, undergraduate-only school), I have been away from academia because I worked/took a gap year/similar, I enjoy abstract algebra, I think I'm good at abstract algebra</t>
  </si>
  <si>
    <t>https://www.downforacross.com/beta/game/5605413-jank</t>
  </si>
  <si>
    <t>Rhanger@wisc.edu</t>
  </si>
  <si>
    <t>Rachel</t>
  </si>
  <si>
    <t>She/her/hers</t>
  </si>
  <si>
    <t>I am a second-year or higher graduate student, I have taken graduate-level algebra classes (either here or at another institution), I have an undergraduate degree in math, I did my undergraduate at a university (typically a larger school that also grants postgraduate degrees), I enjoy abstract algebra, I think I'm good at abstract algebra, I am possibly interested in working in algebra, number theory, or algebraic geometry</t>
  </si>
  <si>
    <t>Tell me your favorite baked good/recipe and I'll make it for you as thanks. 😊 Also, thanks for taking this job in the first place.</t>
  </si>
  <si>
    <t>Abbi</t>
  </si>
  <si>
    <t>I am a second-year or higher graduate student, I have taken graduate-level algebra classes (either here or at another institution), I have an undergraduate degree in math, I did my undergraduate at a university (typically a larger school that also grants postgraduate degrees), I enjoy abstract algebra, I am possibly interested in working in algebra, number theory, or algebraic geometry</t>
  </si>
  <si>
    <t>Awildo</t>
  </si>
  <si>
    <t>he/him/his</t>
  </si>
  <si>
    <t>I am a second-year or higher graduate student, I have taken graduate-level algebra classes (either here or at another institution), I have an undergraduate degree in math, I did my undergraduate at a college (typically a smaller, undergraduate-only school), I enjoy abstract algebra, I think I'm good at abstract algebra</t>
  </si>
  <si>
    <t>algebr-er? I hardly know her</t>
  </si>
  <si>
    <t>I'm going to pass the qual!, I want to learn/review algebra before the school year starts, I'm an incoming first year and I wanted to meet some of my peers and explore Madison, They are paying me to be here.</t>
  </si>
  <si>
    <t>Kanav</t>
  </si>
  <si>
    <t>He/Him</t>
  </si>
  <si>
    <t>I am an incoming first-year graduate student, I have taken graduate-level algebra classes (either here or at another institution), I have an undergraduate degree in math, I did my undergraduate at a university (typically a larger school that also grants postgraduate degrees), I enjoy abstract algebra, I think I'm good at abstract algebra, I am possibly interested in working in algebra, number theory, or algebraic geometry</t>
  </si>
  <si>
    <t>she/her</t>
  </si>
  <si>
    <t>I am a second-year or higher graduate student, I have taken graduate-level algebra classes (either here or at another institution), I have an undergraduate degree in math, I did my undergraduate at a college (typically a smaller, undergraduate-only school), I enjoy abstract algebra, I think I'm good at abstract algebra, I am possibly interested in working in algebra, number theory, or algebraic geometry</t>
  </si>
  <si>
    <t>I am teaching this summer, and my discussion ends at 11:50, so I will be a couple minutes late everyday</t>
  </si>
  <si>
    <t>I want to learn/review algebra before the school year starts, I'm going to pass the quals! (at purdue)</t>
  </si>
  <si>
    <t>I have taken graduate-level algebra classes (either here or at another institution), I have an undergraduate degree in math, I did my undergraduate at a university (typically a larger school that also grants postgraduate degrees)</t>
  </si>
  <si>
    <t>hashbach@wisc.edu</t>
  </si>
  <si>
    <t>Hannah</t>
  </si>
  <si>
    <t>I am a second-year or higher graduate student</t>
  </si>
  <si>
    <t>Inbo</t>
  </si>
  <si>
    <t>He/him</t>
  </si>
  <si>
    <t>I am an incoming first-year graduate student, I have taken graduate-level algebra classes (either here or at another institution), I have an undergraduate degree in math, I did my undergraduate at a university (typically a larger school that also grants postgraduate degrees), I have been away from academia because I worked/took a gap year/similar, I enjoy abstract algebra, I think I'm good at abstract algebra, I am possibly interested in working in algebra, number theory, or algebraic geometry</t>
  </si>
  <si>
    <t>I'm going to pass the qual!, They are paying me to be here.</t>
  </si>
  <si>
    <t>Mateo</t>
  </si>
  <si>
    <t>He/they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</si>
</sst>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ownforacross.com/beta/game/5605413-ja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45479.438140659724</v>
      </c>
      <c r="B2" s="3" t="s">
        <v>24</v>
      </c>
      <c r="C2" s="3" t="s">
        <v>24</v>
      </c>
      <c r="D2" s="3" t="s">
        <v>25</v>
      </c>
      <c r="E2" s="3" t="s">
        <v>26</v>
      </c>
      <c r="F2" s="3" t="s">
        <v>26</v>
      </c>
      <c r="G2" s="3" t="s">
        <v>25</v>
      </c>
      <c r="H2" s="3" t="s">
        <v>24</v>
      </c>
      <c r="I2" s="3" t="s">
        <v>25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27</v>
      </c>
      <c r="O2" s="3" t="s">
        <v>26</v>
      </c>
      <c r="P2" s="3" t="s">
        <v>24</v>
      </c>
      <c r="Q2" s="3" t="s">
        <v>24</v>
      </c>
      <c r="R2" s="3" t="s">
        <v>24</v>
      </c>
      <c r="S2" s="3" t="s">
        <v>28</v>
      </c>
      <c r="T2" s="3" t="s">
        <v>29</v>
      </c>
      <c r="U2" s="3" t="s">
        <v>30</v>
      </c>
      <c r="V2" s="3" t="s">
        <v>31</v>
      </c>
      <c r="W2" s="3" t="s">
        <v>32</v>
      </c>
      <c r="X2" s="4" t="s">
        <v>33</v>
      </c>
    </row>
    <row r="3">
      <c r="A3" s="2">
        <v>45479.46068444445</v>
      </c>
      <c r="B3" s="3" t="s">
        <v>26</v>
      </c>
      <c r="C3" s="3" t="s">
        <v>24</v>
      </c>
      <c r="D3" s="3" t="s">
        <v>24</v>
      </c>
      <c r="E3" s="3" t="s">
        <v>26</v>
      </c>
      <c r="F3" s="3" t="s">
        <v>26</v>
      </c>
      <c r="G3" s="3" t="s">
        <v>25</v>
      </c>
      <c r="H3" s="3" t="s">
        <v>24</v>
      </c>
      <c r="I3" s="3" t="s">
        <v>25</v>
      </c>
      <c r="J3" s="3" t="s">
        <v>24</v>
      </c>
      <c r="K3" s="3" t="s">
        <v>24</v>
      </c>
      <c r="L3" s="3" t="s">
        <v>24</v>
      </c>
      <c r="M3" s="3" t="s">
        <v>25</v>
      </c>
      <c r="N3" s="3" t="s">
        <v>24</v>
      </c>
      <c r="O3" s="3" t="s">
        <v>25</v>
      </c>
      <c r="P3" s="3" t="s">
        <v>27</v>
      </c>
      <c r="Q3" s="3" t="s">
        <v>24</v>
      </c>
      <c r="R3" s="3" t="s">
        <v>24</v>
      </c>
      <c r="S3" s="3" t="s">
        <v>28</v>
      </c>
    </row>
    <row r="4">
      <c r="A4" s="2">
        <v>45479.47021944444</v>
      </c>
      <c r="B4" s="3" t="s">
        <v>25</v>
      </c>
      <c r="C4" s="3" t="s">
        <v>25</v>
      </c>
      <c r="D4" s="3" t="s">
        <v>25</v>
      </c>
      <c r="E4" s="3" t="s">
        <v>26</v>
      </c>
      <c r="F4" s="3" t="s">
        <v>25</v>
      </c>
      <c r="G4" s="3" t="s">
        <v>26</v>
      </c>
      <c r="H4" s="3" t="s">
        <v>25</v>
      </c>
      <c r="I4" s="3" t="s">
        <v>26</v>
      </c>
      <c r="J4" s="3" t="s">
        <v>25</v>
      </c>
      <c r="K4" s="3" t="s">
        <v>24</v>
      </c>
      <c r="L4" s="3" t="s">
        <v>24</v>
      </c>
      <c r="M4" s="3" t="s">
        <v>26</v>
      </c>
      <c r="N4" s="3" t="s">
        <v>25</v>
      </c>
      <c r="O4" s="3" t="s">
        <v>25</v>
      </c>
      <c r="P4" s="3" t="s">
        <v>25</v>
      </c>
      <c r="Q4" s="3" t="s">
        <v>24</v>
      </c>
      <c r="R4" s="3" t="s">
        <v>25</v>
      </c>
      <c r="S4" s="3" t="s">
        <v>28</v>
      </c>
      <c r="T4" s="3" t="s">
        <v>34</v>
      </c>
      <c r="U4" s="3" t="s">
        <v>35</v>
      </c>
      <c r="V4" s="3" t="s">
        <v>36</v>
      </c>
      <c r="W4" s="3" t="s">
        <v>37</v>
      </c>
      <c r="X4" s="3" t="s">
        <v>38</v>
      </c>
    </row>
    <row r="5">
      <c r="A5" s="2">
        <v>45479.488992997685</v>
      </c>
      <c r="B5" s="3" t="s">
        <v>25</v>
      </c>
      <c r="C5" s="3" t="s">
        <v>25</v>
      </c>
      <c r="D5" s="3" t="s">
        <v>24</v>
      </c>
      <c r="E5" s="3" t="s">
        <v>26</v>
      </c>
      <c r="F5" s="3" t="s">
        <v>26</v>
      </c>
      <c r="G5" s="3" t="s">
        <v>25</v>
      </c>
      <c r="H5" s="3" t="s">
        <v>24</v>
      </c>
      <c r="I5" s="3" t="s">
        <v>25</v>
      </c>
      <c r="J5" s="3" t="s">
        <v>25</v>
      </c>
      <c r="K5" s="3" t="s">
        <v>24</v>
      </c>
      <c r="L5" s="3" t="s">
        <v>24</v>
      </c>
      <c r="M5" s="3" t="s">
        <v>25</v>
      </c>
      <c r="N5" s="3" t="s">
        <v>25</v>
      </c>
      <c r="O5" s="3" t="s">
        <v>25</v>
      </c>
      <c r="P5" s="3" t="s">
        <v>27</v>
      </c>
      <c r="Q5" s="3" t="s">
        <v>27</v>
      </c>
      <c r="R5" s="3" t="s">
        <v>24</v>
      </c>
      <c r="S5" s="3" t="s">
        <v>28</v>
      </c>
      <c r="U5" s="3" t="s">
        <v>39</v>
      </c>
      <c r="W5" s="3" t="s">
        <v>40</v>
      </c>
    </row>
    <row r="6">
      <c r="A6" s="2">
        <v>45480.53652462963</v>
      </c>
      <c r="B6" s="3" t="s">
        <v>26</v>
      </c>
      <c r="C6" s="3" t="s">
        <v>25</v>
      </c>
      <c r="D6" s="3" t="s">
        <v>27</v>
      </c>
      <c r="E6" s="3" t="s">
        <v>26</v>
      </c>
      <c r="F6" s="3" t="s">
        <v>26</v>
      </c>
      <c r="G6" s="3" t="s">
        <v>26</v>
      </c>
      <c r="H6" s="3" t="s">
        <v>24</v>
      </c>
      <c r="I6" s="3" t="s">
        <v>26</v>
      </c>
      <c r="J6" s="3" t="s">
        <v>26</v>
      </c>
      <c r="K6" s="3" t="s">
        <v>25</v>
      </c>
      <c r="L6" s="3" t="s">
        <v>24</v>
      </c>
      <c r="M6" s="3" t="s">
        <v>26</v>
      </c>
      <c r="N6" s="3" t="s">
        <v>25</v>
      </c>
      <c r="O6" s="3" t="s">
        <v>26</v>
      </c>
      <c r="P6" s="3" t="s">
        <v>25</v>
      </c>
      <c r="Q6" s="3" t="s">
        <v>25</v>
      </c>
      <c r="R6" s="3" t="s">
        <v>26</v>
      </c>
      <c r="S6" s="3" t="s">
        <v>28</v>
      </c>
      <c r="U6" s="3" t="s">
        <v>41</v>
      </c>
      <c r="V6" s="3" t="s">
        <v>42</v>
      </c>
      <c r="W6" s="3" t="s">
        <v>43</v>
      </c>
      <c r="X6" s="3" t="s">
        <v>44</v>
      </c>
    </row>
    <row r="7">
      <c r="A7" s="2">
        <v>45480.63831829861</v>
      </c>
      <c r="B7" s="3" t="s">
        <v>26</v>
      </c>
      <c r="C7" s="3" t="s">
        <v>25</v>
      </c>
      <c r="D7" s="3" t="s">
        <v>25</v>
      </c>
      <c r="E7" s="3" t="s">
        <v>26</v>
      </c>
      <c r="F7" s="3" t="s">
        <v>26</v>
      </c>
      <c r="G7" s="3" t="s">
        <v>25</v>
      </c>
      <c r="H7" s="3" t="s">
        <v>24</v>
      </c>
      <c r="I7" s="3" t="s">
        <v>26</v>
      </c>
      <c r="J7" s="3" t="s">
        <v>25</v>
      </c>
      <c r="K7" s="3" t="s">
        <v>25</v>
      </c>
      <c r="L7" s="3" t="s">
        <v>25</v>
      </c>
      <c r="M7" s="3" t="s">
        <v>26</v>
      </c>
      <c r="N7" s="3" t="s">
        <v>24</v>
      </c>
      <c r="O7" s="3" t="s">
        <v>24</v>
      </c>
      <c r="P7" s="3" t="s">
        <v>24</v>
      </c>
      <c r="Q7" s="3" t="s">
        <v>24</v>
      </c>
      <c r="R7" s="3" t="s">
        <v>24</v>
      </c>
      <c r="S7" s="3" t="s">
        <v>45</v>
      </c>
      <c r="U7" s="3" t="s">
        <v>46</v>
      </c>
      <c r="V7" s="3" t="s">
        <v>47</v>
      </c>
      <c r="W7" s="3" t="s">
        <v>48</v>
      </c>
    </row>
    <row r="8">
      <c r="A8" s="2">
        <v>45481.39954604166</v>
      </c>
      <c r="B8" s="3" t="s">
        <v>24</v>
      </c>
      <c r="C8" s="3" t="s">
        <v>25</v>
      </c>
      <c r="D8" s="3" t="s">
        <v>24</v>
      </c>
      <c r="E8" s="3" t="s">
        <v>25</v>
      </c>
      <c r="F8" s="3" t="s">
        <v>25</v>
      </c>
      <c r="G8" s="3" t="s">
        <v>26</v>
      </c>
      <c r="H8" s="3" t="s">
        <v>25</v>
      </c>
      <c r="I8" s="3" t="s">
        <v>25</v>
      </c>
      <c r="J8" s="3" t="s">
        <v>24</v>
      </c>
      <c r="K8" s="3" t="s">
        <v>24</v>
      </c>
      <c r="L8" s="3" t="s">
        <v>27</v>
      </c>
      <c r="M8" s="3" t="s">
        <v>24</v>
      </c>
      <c r="N8" s="3" t="s">
        <v>25</v>
      </c>
      <c r="O8" s="3" t="s">
        <v>26</v>
      </c>
      <c r="P8" s="3" t="s">
        <v>24</v>
      </c>
      <c r="Q8" s="3" t="s">
        <v>25</v>
      </c>
      <c r="R8" s="3" t="s">
        <v>24</v>
      </c>
      <c r="S8" s="3" t="s">
        <v>28</v>
      </c>
      <c r="U8" s="3" t="s">
        <v>35</v>
      </c>
      <c r="V8" s="3" t="s">
        <v>49</v>
      </c>
      <c r="W8" s="3" t="s">
        <v>50</v>
      </c>
      <c r="X8" s="3" t="s">
        <v>51</v>
      </c>
    </row>
    <row r="9">
      <c r="A9" s="2">
        <v>45481.61242157407</v>
      </c>
      <c r="B9" s="3" t="s">
        <v>26</v>
      </c>
      <c r="C9" s="3" t="s">
        <v>26</v>
      </c>
      <c r="D9" s="3" t="s">
        <v>25</v>
      </c>
      <c r="E9" s="3" t="s">
        <v>25</v>
      </c>
      <c r="F9" s="3" t="s">
        <v>25</v>
      </c>
      <c r="G9" s="3" t="s">
        <v>25</v>
      </c>
      <c r="H9" s="3" t="s">
        <v>24</v>
      </c>
      <c r="I9" s="3" t="s">
        <v>25</v>
      </c>
      <c r="J9" s="3" t="s">
        <v>24</v>
      </c>
      <c r="K9" s="3" t="s">
        <v>24</v>
      </c>
      <c r="L9" s="3" t="s">
        <v>24</v>
      </c>
      <c r="M9" s="3" t="s">
        <v>25</v>
      </c>
      <c r="N9" s="3" t="s">
        <v>24</v>
      </c>
      <c r="O9" s="3" t="s">
        <v>24</v>
      </c>
      <c r="P9" s="3" t="s">
        <v>27</v>
      </c>
      <c r="Q9" s="3" t="s">
        <v>27</v>
      </c>
      <c r="R9" s="3" t="s">
        <v>24</v>
      </c>
      <c r="S9" s="3" t="s">
        <v>52</v>
      </c>
      <c r="W9" s="3" t="s">
        <v>53</v>
      </c>
    </row>
    <row r="10">
      <c r="A10" s="2">
        <v>45481.761604513886</v>
      </c>
      <c r="B10" s="3" t="s">
        <v>24</v>
      </c>
      <c r="C10" s="3" t="s">
        <v>24</v>
      </c>
      <c r="D10" s="3" t="s">
        <v>24</v>
      </c>
      <c r="E10" s="3" t="s">
        <v>25</v>
      </c>
      <c r="F10" s="3" t="s">
        <v>25</v>
      </c>
      <c r="G10" s="3" t="s">
        <v>25</v>
      </c>
      <c r="H10" s="3" t="s">
        <v>24</v>
      </c>
      <c r="I10" s="3" t="s">
        <v>26</v>
      </c>
      <c r="J10" s="3" t="s">
        <v>24</v>
      </c>
      <c r="K10" s="3" t="s">
        <v>24</v>
      </c>
      <c r="L10" s="3" t="s">
        <v>24</v>
      </c>
      <c r="M10" s="3" t="s">
        <v>25</v>
      </c>
      <c r="N10" s="3" t="s">
        <v>25</v>
      </c>
      <c r="O10" s="3" t="s">
        <v>24</v>
      </c>
      <c r="P10" s="3" t="s">
        <v>27</v>
      </c>
      <c r="Q10" s="3" t="s">
        <v>27</v>
      </c>
      <c r="R10" s="3" t="s">
        <v>25</v>
      </c>
      <c r="S10" s="3" t="s">
        <v>28</v>
      </c>
      <c r="T10" s="3" t="s">
        <v>54</v>
      </c>
      <c r="U10" s="3" t="s">
        <v>55</v>
      </c>
      <c r="V10" s="3" t="s">
        <v>49</v>
      </c>
      <c r="W10" s="3" t="s">
        <v>56</v>
      </c>
    </row>
    <row r="11">
      <c r="A11" s="2">
        <v>45484.964529861114</v>
      </c>
      <c r="B11" s="3" t="s">
        <v>25</v>
      </c>
      <c r="C11" s="3" t="s">
        <v>26</v>
      </c>
      <c r="D11" s="3" t="s">
        <v>26</v>
      </c>
      <c r="E11" s="3" t="s">
        <v>26</v>
      </c>
      <c r="F11" s="3" t="s">
        <v>25</v>
      </c>
      <c r="G11" s="3" t="s">
        <v>26</v>
      </c>
      <c r="H11" s="3" t="s">
        <v>25</v>
      </c>
      <c r="I11" s="3" t="s">
        <v>26</v>
      </c>
      <c r="J11" s="3" t="s">
        <v>25</v>
      </c>
      <c r="K11" s="3" t="s">
        <v>25</v>
      </c>
      <c r="L11" s="3" t="s">
        <v>25</v>
      </c>
      <c r="M11" s="3" t="s">
        <v>26</v>
      </c>
      <c r="N11" s="3" t="s">
        <v>25</v>
      </c>
      <c r="O11" s="3" t="s">
        <v>26</v>
      </c>
      <c r="P11" s="3" t="s">
        <v>25</v>
      </c>
      <c r="Q11" s="3" t="s">
        <v>25</v>
      </c>
      <c r="R11" s="3" t="s">
        <v>26</v>
      </c>
      <c r="S11" s="3" t="s">
        <v>28</v>
      </c>
      <c r="U11" s="3" t="s">
        <v>57</v>
      </c>
      <c r="V11" s="3" t="s">
        <v>58</v>
      </c>
      <c r="W11" s="3" t="s">
        <v>59</v>
      </c>
    </row>
    <row r="12">
      <c r="A12" s="2">
        <v>45488.57582690972</v>
      </c>
      <c r="B12" s="3" t="s">
        <v>25</v>
      </c>
      <c r="C12" s="3" t="s">
        <v>25</v>
      </c>
      <c r="D12" s="3" t="s">
        <v>25</v>
      </c>
      <c r="E12" s="3" t="s">
        <v>26</v>
      </c>
      <c r="F12" s="3" t="s">
        <v>26</v>
      </c>
      <c r="G12" s="3" t="s">
        <v>25</v>
      </c>
      <c r="H12" s="3" t="s">
        <v>26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26</v>
      </c>
      <c r="N12" s="3" t="s">
        <v>26</v>
      </c>
      <c r="O12" s="3" t="s">
        <v>26</v>
      </c>
      <c r="P12" s="3" t="s">
        <v>25</v>
      </c>
      <c r="Q12" s="3" t="s">
        <v>25</v>
      </c>
      <c r="R12" s="3" t="s">
        <v>24</v>
      </c>
      <c r="S12" s="3" t="s">
        <v>60</v>
      </c>
      <c r="U12" s="3" t="s">
        <v>61</v>
      </c>
      <c r="V12" s="3" t="s">
        <v>62</v>
      </c>
      <c r="W12" s="3" t="s">
        <v>56</v>
      </c>
    </row>
    <row r="14">
      <c r="B14" s="5">
        <f t="shared" ref="B14:R14" si="1">COUNTIF(B2:B12,"No comfort; I have never seen many of these things.")</f>
        <v>0</v>
      </c>
      <c r="C14" s="5">
        <f t="shared" si="1"/>
        <v>0</v>
      </c>
      <c r="D14" s="5">
        <f t="shared" si="1"/>
        <v>1</v>
      </c>
      <c r="E14" s="5">
        <f t="shared" si="1"/>
        <v>0</v>
      </c>
      <c r="F14" s="5">
        <f t="shared" si="1"/>
        <v>0</v>
      </c>
      <c r="G14" s="5">
        <f t="shared" si="1"/>
        <v>0</v>
      </c>
      <c r="H14" s="5">
        <f t="shared" si="1"/>
        <v>0</v>
      </c>
      <c r="I14" s="5">
        <f t="shared" si="1"/>
        <v>0</v>
      </c>
      <c r="J14" s="5">
        <f t="shared" si="1"/>
        <v>0</v>
      </c>
      <c r="K14" s="5">
        <f t="shared" si="1"/>
        <v>0</v>
      </c>
      <c r="L14" s="5">
        <f t="shared" si="1"/>
        <v>1</v>
      </c>
      <c r="M14" s="5">
        <f t="shared" si="1"/>
        <v>0</v>
      </c>
      <c r="N14" s="5">
        <f t="shared" si="1"/>
        <v>1</v>
      </c>
      <c r="O14" s="5">
        <f t="shared" si="1"/>
        <v>0</v>
      </c>
      <c r="P14" s="5">
        <f t="shared" si="1"/>
        <v>4</v>
      </c>
      <c r="Q14" s="5">
        <f t="shared" si="1"/>
        <v>3</v>
      </c>
      <c r="R14" s="5">
        <f t="shared" si="1"/>
        <v>0</v>
      </c>
    </row>
    <row r="15">
      <c r="B15" s="5">
        <f t="shared" ref="B15:R15" si="2">COUNTIF(B2:B12,"Uncomfortable; I have seen some of this, but I'm not sure I could do much with it.")</f>
        <v>3</v>
      </c>
      <c r="C15" s="5">
        <f t="shared" si="2"/>
        <v>3</v>
      </c>
      <c r="D15" s="5">
        <f t="shared" si="2"/>
        <v>4</v>
      </c>
      <c r="E15" s="5">
        <f t="shared" si="2"/>
        <v>0</v>
      </c>
      <c r="F15" s="5">
        <f t="shared" si="2"/>
        <v>0</v>
      </c>
      <c r="G15" s="5">
        <f t="shared" si="2"/>
        <v>0</v>
      </c>
      <c r="H15" s="5">
        <f t="shared" si="2"/>
        <v>7</v>
      </c>
      <c r="I15" s="5">
        <f t="shared" si="2"/>
        <v>1</v>
      </c>
      <c r="J15" s="5">
        <f t="shared" si="2"/>
        <v>6</v>
      </c>
      <c r="K15" s="5">
        <f t="shared" si="2"/>
        <v>8</v>
      </c>
      <c r="L15" s="5">
        <f t="shared" si="2"/>
        <v>8</v>
      </c>
      <c r="M15" s="5">
        <f t="shared" si="2"/>
        <v>2</v>
      </c>
      <c r="N15" s="5">
        <f t="shared" si="2"/>
        <v>3</v>
      </c>
      <c r="O15" s="5">
        <f t="shared" si="2"/>
        <v>3</v>
      </c>
      <c r="P15" s="5">
        <f t="shared" si="2"/>
        <v>3</v>
      </c>
      <c r="Q15" s="5">
        <f t="shared" si="2"/>
        <v>4</v>
      </c>
      <c r="R15" s="5">
        <f t="shared" si="2"/>
        <v>7</v>
      </c>
    </row>
    <row r="16">
      <c r="B16" s="5">
        <f t="shared" ref="B16:R16" si="3">COUNTIF(B2:B12,"Medium comfortable; I could probably do computations with most of these things.")</f>
        <v>4</v>
      </c>
      <c r="C16" s="5">
        <f t="shared" si="3"/>
        <v>6</v>
      </c>
      <c r="D16" s="5">
        <f t="shared" si="3"/>
        <v>5</v>
      </c>
      <c r="E16" s="5">
        <f t="shared" si="3"/>
        <v>3</v>
      </c>
      <c r="F16" s="5">
        <f t="shared" si="3"/>
        <v>5</v>
      </c>
      <c r="G16" s="5">
        <f t="shared" si="3"/>
        <v>7</v>
      </c>
      <c r="H16" s="5">
        <f t="shared" si="3"/>
        <v>3</v>
      </c>
      <c r="I16" s="5">
        <f t="shared" si="3"/>
        <v>5</v>
      </c>
      <c r="J16" s="5">
        <f t="shared" si="3"/>
        <v>4</v>
      </c>
      <c r="K16" s="5">
        <f t="shared" si="3"/>
        <v>3</v>
      </c>
      <c r="L16" s="5">
        <f t="shared" si="3"/>
        <v>2</v>
      </c>
      <c r="M16" s="5">
        <f t="shared" si="3"/>
        <v>4</v>
      </c>
      <c r="N16" s="5">
        <f t="shared" si="3"/>
        <v>6</v>
      </c>
      <c r="O16" s="5">
        <f t="shared" si="3"/>
        <v>3</v>
      </c>
      <c r="P16" s="5">
        <f t="shared" si="3"/>
        <v>4</v>
      </c>
      <c r="Q16" s="5">
        <f t="shared" si="3"/>
        <v>4</v>
      </c>
      <c r="R16" s="5">
        <f t="shared" si="3"/>
        <v>2</v>
      </c>
    </row>
    <row r="17">
      <c r="B17" s="5">
        <f t="shared" ref="B17:R17" si="4">COUNTIF(B2:B12,"Comfortable; if it came up in a proof I wouldn't have to think too long about it.")</f>
        <v>4</v>
      </c>
      <c r="C17" s="5">
        <f t="shared" si="4"/>
        <v>2</v>
      </c>
      <c r="D17" s="5">
        <f t="shared" si="4"/>
        <v>1</v>
      </c>
      <c r="E17" s="5">
        <f t="shared" si="4"/>
        <v>8</v>
      </c>
      <c r="F17" s="5">
        <f t="shared" si="4"/>
        <v>6</v>
      </c>
      <c r="G17" s="5">
        <f t="shared" si="4"/>
        <v>4</v>
      </c>
      <c r="H17" s="5">
        <f t="shared" si="4"/>
        <v>1</v>
      </c>
      <c r="I17" s="5">
        <f t="shared" si="4"/>
        <v>5</v>
      </c>
      <c r="J17" s="5">
        <f t="shared" si="4"/>
        <v>1</v>
      </c>
      <c r="K17" s="5">
        <f t="shared" si="4"/>
        <v>0</v>
      </c>
      <c r="L17" s="5">
        <f t="shared" si="4"/>
        <v>0</v>
      </c>
      <c r="M17" s="5">
        <f t="shared" si="4"/>
        <v>5</v>
      </c>
      <c r="N17" s="5">
        <f t="shared" si="4"/>
        <v>1</v>
      </c>
      <c r="O17" s="5">
        <f t="shared" si="4"/>
        <v>5</v>
      </c>
      <c r="P17" s="5">
        <f t="shared" si="4"/>
        <v>0</v>
      </c>
      <c r="Q17" s="5">
        <f t="shared" si="4"/>
        <v>0</v>
      </c>
      <c r="R17" s="5">
        <f t="shared" si="4"/>
        <v>2</v>
      </c>
    </row>
  </sheetData>
  <hyperlinks>
    <hyperlink r:id="rId1" ref="X2"/>
  </hyperlinks>
  <drawing r:id="rId2"/>
</worksheet>
</file>